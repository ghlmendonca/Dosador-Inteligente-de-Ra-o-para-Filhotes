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mar\Desktop\Faculdade\ciência do ambiente\"/>
    </mc:Choice>
  </mc:AlternateContent>
  <xr:revisionPtr revIDLastSave="0" documentId="8_{7C3B3966-ACF9-41A3-9649-77CAB4E9E02A}" xr6:coauthVersionLast="47" xr6:coauthVersionMax="47" xr10:uidLastSave="{00000000-0000-0000-0000-000000000000}"/>
  <bookViews>
    <workbookView xWindow="-120" yWindow="-120" windowWidth="38640" windowHeight="21120" xr2:uid="{E0084D3E-B561-40A2-9268-DA6C3C8CFEB2}"/>
  </bookViews>
  <sheets>
    <sheet name="Tabela 1 — CAPEX" sheetId="1" r:id="rId1"/>
    <sheet name="Tabela 2 — OPEX" sheetId="3" r:id="rId2"/>
    <sheet name="Orçamento preliminar" sheetId="4" r:id="rId3"/>
    <sheet name="Panilha de cust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5" l="1"/>
  <c r="F9" i="5"/>
  <c r="F8" i="5"/>
  <c r="F7" i="5"/>
  <c r="F3" i="5"/>
  <c r="F4" i="5"/>
  <c r="F5" i="5"/>
  <c r="F6" i="5"/>
  <c r="F2" i="5"/>
</calcChain>
</file>

<file path=xl/sharedStrings.xml><?xml version="1.0" encoding="utf-8"?>
<sst xmlns="http://schemas.openxmlformats.org/spreadsheetml/2006/main" count="199" uniqueCount="106">
  <si>
    <t>Item</t>
  </si>
  <si>
    <t>Tipo</t>
  </si>
  <si>
    <t>Qtd.</t>
  </si>
  <si>
    <t>Valor unitário estimado</t>
  </si>
  <si>
    <t>Total estimado</t>
  </si>
  <si>
    <t>Entrega/EAP</t>
  </si>
  <si>
    <t>ESP32</t>
  </si>
  <si>
    <t>CAPEX</t>
  </si>
  <si>
    <t>R$ 45–90</t>
  </si>
  <si>
    <t>3.1 — Unidade de controle</t>
  </si>
  <si>
    <t>Célula de carga</t>
  </si>
  <si>
    <t>R$ 20–45</t>
  </si>
  <si>
    <t>3.2 — Sistema de pesagem</t>
  </si>
  <si>
    <t>Módulo HX711</t>
  </si>
  <si>
    <t>R$ 10–25</t>
  </si>
  <si>
    <t>Servo motor ou motorredutor</t>
  </si>
  <si>
    <t>R$ 35–120</t>
  </si>
  <si>
    <t>3.3 — Mecanismo de dispensação</t>
  </si>
  <si>
    <t>Driver de acionamento</t>
  </si>
  <si>
    <t>R$ 15–45</t>
  </si>
  <si>
    <t>3.3 — Sistema de acionamento</t>
  </si>
  <si>
    <t>Fonte de alimentação</t>
  </si>
  <si>
    <t>R$ 30–70</t>
  </si>
  <si>
    <t>3.4 — Circuito de alimentação</t>
  </si>
  <si>
    <t>Componentes de proteção elétrica</t>
  </si>
  <si>
    <t>1 conjunto</t>
  </si>
  <si>
    <t>R$ 20–50</t>
  </si>
  <si>
    <t>3.4 — Circuito eletrônico</t>
  </si>
  <si>
    <t>Protoboard ou placa de montagem</t>
  </si>
  <si>
    <t>R$ 15–40</t>
  </si>
  <si>
    <t>Fios, conectores e terminais</t>
  </si>
  <si>
    <t>Reservatório de ração</t>
  </si>
  <si>
    <t>R$ 30–80</t>
  </si>
  <si>
    <t>3.5 — Estrutura física</t>
  </si>
  <si>
    <t>Material para fabricação da estrutura</t>
  </si>
  <si>
    <t>R$ 60–180</t>
  </si>
  <si>
    <t>Peças mecânicas para calha e comporta</t>
  </si>
  <si>
    <t>R$ 30–100</t>
  </si>
  <si>
    <t>3.3 — Controle de fluxo</t>
  </si>
  <si>
    <t>Parafusos e suportes</t>
  </si>
  <si>
    <t>Multímetro básico</t>
  </si>
  <si>
    <t>R$ 50–120</t>
  </si>
  <si>
    <t>6.4 — Testes de segurança</t>
  </si>
  <si>
    <t>Balança de referência</t>
  </si>
  <si>
    <t>R$ 40–100</t>
  </si>
  <si>
    <t>6.1 — Testes de precisão</t>
  </si>
  <si>
    <t>R$ 455–1.155</t>
  </si>
  <si>
    <t>R$ 70–240</t>
  </si>
  <si>
    <t>Energia elétrica</t>
  </si>
  <si>
    <t>OPEX</t>
  </si>
  <si>
    <t>3 meses</t>
  </si>
  <si>
    <t>R$ 15/mês</t>
  </si>
  <si>
    <t>6.0 — Testes e validação</t>
  </si>
  <si>
    <t>Materiais consumíveis e reposição</t>
  </si>
  <si>
    <t>R$ 50–150</t>
  </si>
  <si>
    <t>3.0 — Hardware</t>
  </si>
  <si>
    <t>Insumos para montagem e soldagem</t>
  </si>
  <si>
    <t>Banco de dados em nuvem</t>
  </si>
  <si>
    <t>R$ 0–50/mês</t>
  </si>
  <si>
    <t>R$ 0–150</t>
  </si>
  <si>
    <t>5.2 — Banco de dados</t>
  </si>
  <si>
    <t>Hospedagem da aplicação</t>
  </si>
  <si>
    <t>R$ 0–40/mês</t>
  </si>
  <si>
    <t>R$ 0–120</t>
  </si>
  <si>
    <t>2.0 — Aplicação PWA</t>
  </si>
  <si>
    <t>Transporte para aquisição de materiais</t>
  </si>
  <si>
    <t>1 reserva</t>
  </si>
  <si>
    <t>1.4 — Aquisições</t>
  </si>
  <si>
    <t>Consulta técnica veterinária, se necessária</t>
  </si>
  <si>
    <t>1 consulta</t>
  </si>
  <si>
    <t>R$ 150–400</t>
  </si>
  <si>
    <t>4.0/6.5 — Algoritmo e validação</t>
  </si>
  <si>
    <t>Documentação e impressão</t>
  </si>
  <si>
    <t>R$ 20–60</t>
  </si>
  <si>
    <t>7.0 — Documentação</t>
  </si>
  <si>
    <t>R$ 325–1.125</t>
  </si>
  <si>
    <t>Categoria</t>
  </si>
  <si>
    <t>Valor mínimo</t>
  </si>
  <si>
    <t>Valor máximo</t>
  </si>
  <si>
    <t>Equipamentos e materiais</t>
  </si>
  <si>
    <t>Despesas operacionais</t>
  </si>
  <si>
    <t>Subtotal</t>
  </si>
  <si>
    <t>Reserva para contingências (15%)</t>
  </si>
  <si>
    <t>Reserva</t>
  </si>
  <si>
    <t>Orçamento preliminar</t>
  </si>
  <si>
    <t>Código EAP</t>
  </si>
  <si>
    <t>Quantidade</t>
  </si>
  <si>
    <t>Valor unitário</t>
  </si>
  <si>
    <t>Total</t>
  </si>
  <si>
    <t>Fornecedor</t>
  </si>
  <si>
    <t>Data da cotação</t>
  </si>
  <si>
    <t>3.1</t>
  </si>
  <si>
    <t>A definir</t>
  </si>
  <si>
    <t>3.2</t>
  </si>
  <si>
    <t>3.3</t>
  </si>
  <si>
    <t>3.4</t>
  </si>
  <si>
    <t>3.5</t>
  </si>
  <si>
    <t>Material da estrutura</t>
  </si>
  <si>
    <t>2.0</t>
  </si>
  <si>
    <t>Hospedagem</t>
  </si>
  <si>
    <t>5.2</t>
  </si>
  <si>
    <t>Banco de dados</t>
  </si>
  <si>
    <t>Mercado livre</t>
  </si>
  <si>
    <t>motor de passo 28byj 48</t>
  </si>
  <si>
    <t xml:space="preserve">	Hostinger</t>
  </si>
  <si>
    <t>3 meses/free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</si>
</sst>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169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8" fontId="2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0" xfId="0" applyAlignment="1"/>
    <xf numFmtId="16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9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9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9" fontId="1" fillId="2" borderId="5" xfId="0" applyNumberFormat="1" applyFont="1" applyFill="1" applyBorder="1" applyAlignment="1">
      <alignment horizontal="center"/>
    </xf>
    <xf numFmtId="0" fontId="0" fillId="2" borderId="1" xfId="0" applyFill="1" applyBorder="1" applyAlignment="1">
      <alignment vertical="top"/>
    </xf>
    <xf numFmtId="8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D811-AA6C-4922-8329-149B8608D21D}">
  <dimension ref="A1:F17"/>
  <sheetViews>
    <sheetView tabSelected="1" workbookViewId="0">
      <selection activeCell="E38" sqref="E38"/>
    </sheetView>
  </sheetViews>
  <sheetFormatPr defaultRowHeight="15" x14ac:dyDescent="0.25"/>
  <cols>
    <col min="1" max="1" width="47.42578125" customWidth="1"/>
    <col min="3" max="3" width="14.140625" customWidth="1"/>
    <col min="4" max="4" width="20.5703125" customWidth="1"/>
    <col min="5" max="5" width="17.7109375" customWidth="1"/>
    <col min="6" max="6" width="38.42578125" customWidth="1"/>
  </cols>
  <sheetData>
    <row r="1" spans="1:6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 x14ac:dyDescent="0.25">
      <c r="A2" s="2" t="s">
        <v>6</v>
      </c>
      <c r="B2" s="3" t="s">
        <v>7</v>
      </c>
      <c r="C2" s="3">
        <v>1</v>
      </c>
      <c r="D2" s="3" t="s">
        <v>8</v>
      </c>
      <c r="E2" s="3" t="s">
        <v>8</v>
      </c>
      <c r="F2" s="3" t="s">
        <v>9</v>
      </c>
    </row>
    <row r="3" spans="1:6" x14ac:dyDescent="0.25">
      <c r="A3" s="2" t="s">
        <v>10</v>
      </c>
      <c r="B3" s="3" t="s">
        <v>7</v>
      </c>
      <c r="C3" s="3">
        <v>1</v>
      </c>
      <c r="D3" s="3" t="s">
        <v>11</v>
      </c>
      <c r="E3" s="3" t="s">
        <v>11</v>
      </c>
      <c r="F3" s="3" t="s">
        <v>12</v>
      </c>
    </row>
    <row r="4" spans="1:6" x14ac:dyDescent="0.25">
      <c r="A4" s="2" t="s">
        <v>13</v>
      </c>
      <c r="B4" s="3" t="s">
        <v>7</v>
      </c>
      <c r="C4" s="3">
        <v>1</v>
      </c>
      <c r="D4" s="3" t="s">
        <v>14</v>
      </c>
      <c r="E4" s="3" t="s">
        <v>14</v>
      </c>
      <c r="F4" s="3" t="s">
        <v>12</v>
      </c>
    </row>
    <row r="5" spans="1:6" x14ac:dyDescent="0.25">
      <c r="A5" s="2" t="s">
        <v>15</v>
      </c>
      <c r="B5" s="3" t="s">
        <v>7</v>
      </c>
      <c r="C5" s="3">
        <v>2</v>
      </c>
      <c r="D5" s="3" t="s">
        <v>16</v>
      </c>
      <c r="E5" s="3" t="s">
        <v>47</v>
      </c>
      <c r="F5" s="3" t="s">
        <v>17</v>
      </c>
    </row>
    <row r="6" spans="1:6" x14ac:dyDescent="0.25">
      <c r="A6" s="2" t="s">
        <v>18</v>
      </c>
      <c r="B6" s="3" t="s">
        <v>7</v>
      </c>
      <c r="C6" s="3">
        <v>1</v>
      </c>
      <c r="D6" s="3" t="s">
        <v>19</v>
      </c>
      <c r="E6" s="3" t="s">
        <v>19</v>
      </c>
      <c r="F6" s="3" t="s">
        <v>20</v>
      </c>
    </row>
    <row r="7" spans="1:6" x14ac:dyDescent="0.25">
      <c r="A7" s="2" t="s">
        <v>21</v>
      </c>
      <c r="B7" s="3" t="s">
        <v>7</v>
      </c>
      <c r="C7" s="3">
        <v>1</v>
      </c>
      <c r="D7" s="3" t="s">
        <v>22</v>
      </c>
      <c r="E7" s="3" t="s">
        <v>22</v>
      </c>
      <c r="F7" s="3" t="s">
        <v>23</v>
      </c>
    </row>
    <row r="8" spans="1:6" x14ac:dyDescent="0.25">
      <c r="A8" s="2" t="s">
        <v>24</v>
      </c>
      <c r="B8" s="3" t="s">
        <v>7</v>
      </c>
      <c r="C8" s="3" t="s">
        <v>25</v>
      </c>
      <c r="D8" s="3" t="s">
        <v>26</v>
      </c>
      <c r="E8" s="3" t="s">
        <v>26</v>
      </c>
      <c r="F8" s="3" t="s">
        <v>27</v>
      </c>
    </row>
    <row r="9" spans="1:6" x14ac:dyDescent="0.25">
      <c r="A9" s="2" t="s">
        <v>28</v>
      </c>
      <c r="B9" s="3" t="s">
        <v>7</v>
      </c>
      <c r="C9" s="3">
        <v>1</v>
      </c>
      <c r="D9" s="3" t="s">
        <v>29</v>
      </c>
      <c r="E9" s="3" t="s">
        <v>29</v>
      </c>
      <c r="F9" s="3" t="s">
        <v>27</v>
      </c>
    </row>
    <row r="10" spans="1:6" ht="14.25" customHeight="1" x14ac:dyDescent="0.25">
      <c r="A10" s="2" t="s">
        <v>30</v>
      </c>
      <c r="B10" s="3" t="s">
        <v>7</v>
      </c>
      <c r="C10" s="3" t="s">
        <v>25</v>
      </c>
      <c r="D10" s="3" t="s">
        <v>26</v>
      </c>
      <c r="E10" s="3" t="s">
        <v>26</v>
      </c>
      <c r="F10" s="3" t="s">
        <v>27</v>
      </c>
    </row>
    <row r="11" spans="1:6" ht="15" customHeight="1" x14ac:dyDescent="0.25">
      <c r="A11" s="2" t="s">
        <v>31</v>
      </c>
      <c r="B11" s="3" t="s">
        <v>7</v>
      </c>
      <c r="C11" s="3">
        <v>1</v>
      </c>
      <c r="D11" s="3" t="s">
        <v>32</v>
      </c>
      <c r="E11" s="3" t="s">
        <v>32</v>
      </c>
      <c r="F11" s="3" t="s">
        <v>33</v>
      </c>
    </row>
    <row r="12" spans="1:6" x14ac:dyDescent="0.25">
      <c r="A12" s="2" t="s">
        <v>34</v>
      </c>
      <c r="B12" s="3" t="s">
        <v>7</v>
      </c>
      <c r="C12" s="3" t="s">
        <v>25</v>
      </c>
      <c r="D12" s="3" t="s">
        <v>35</v>
      </c>
      <c r="E12" s="3" t="s">
        <v>35</v>
      </c>
      <c r="F12" s="3" t="s">
        <v>33</v>
      </c>
    </row>
    <row r="13" spans="1:6" x14ac:dyDescent="0.25">
      <c r="A13" s="2" t="s">
        <v>36</v>
      </c>
      <c r="B13" s="3" t="s">
        <v>7</v>
      </c>
      <c r="C13" s="3" t="s">
        <v>25</v>
      </c>
      <c r="D13" s="3" t="s">
        <v>37</v>
      </c>
      <c r="E13" s="3" t="s">
        <v>37</v>
      </c>
      <c r="F13" s="3" t="s">
        <v>38</v>
      </c>
    </row>
    <row r="14" spans="1:6" x14ac:dyDescent="0.25">
      <c r="A14" s="2" t="s">
        <v>39</v>
      </c>
      <c r="B14" s="3" t="s">
        <v>7</v>
      </c>
      <c r="C14" s="3" t="s">
        <v>25</v>
      </c>
      <c r="D14" s="3" t="s">
        <v>29</v>
      </c>
      <c r="E14" s="3" t="s">
        <v>29</v>
      </c>
      <c r="F14" s="3" t="s">
        <v>33</v>
      </c>
    </row>
    <row r="15" spans="1:6" x14ac:dyDescent="0.25">
      <c r="A15" s="2" t="s">
        <v>40</v>
      </c>
      <c r="B15" s="3" t="s">
        <v>7</v>
      </c>
      <c r="C15" s="3">
        <v>1</v>
      </c>
      <c r="D15" s="3" t="s">
        <v>41</v>
      </c>
      <c r="E15" s="3" t="s">
        <v>41</v>
      </c>
      <c r="F15" s="3" t="s">
        <v>42</v>
      </c>
    </row>
    <row r="16" spans="1:6" x14ac:dyDescent="0.25">
      <c r="A16" s="2" t="s">
        <v>43</v>
      </c>
      <c r="B16" s="3" t="s">
        <v>7</v>
      </c>
      <c r="C16" s="3">
        <v>1</v>
      </c>
      <c r="D16" s="3" t="s">
        <v>44</v>
      </c>
      <c r="E16" s="3" t="s">
        <v>44</v>
      </c>
      <c r="F16" s="3" t="s">
        <v>45</v>
      </c>
    </row>
    <row r="17" spans="1:6" x14ac:dyDescent="0.25">
      <c r="A17" s="27" t="s">
        <v>4</v>
      </c>
      <c r="B17" s="28"/>
      <c r="C17" s="29"/>
      <c r="D17" s="30"/>
      <c r="E17" s="31" t="s">
        <v>46</v>
      </c>
      <c r="F17" s="32"/>
    </row>
  </sheetData>
  <mergeCells count="2">
    <mergeCell ref="B17:D17"/>
    <mergeCell ref="E17:F1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55EC-5D7E-4745-92DE-7D7312EF5E60}">
  <dimension ref="A1:F10"/>
  <sheetViews>
    <sheetView workbookViewId="0">
      <selection activeCell="C18" sqref="C18:C19"/>
    </sheetView>
  </sheetViews>
  <sheetFormatPr defaultRowHeight="15" x14ac:dyDescent="0.25"/>
  <cols>
    <col min="1" max="1" width="43.5703125" customWidth="1"/>
    <col min="3" max="3" width="18.140625" customWidth="1"/>
    <col min="4" max="4" width="25.140625" customWidth="1"/>
    <col min="5" max="5" width="19" customWidth="1"/>
    <col min="6" max="6" width="31.5703125" customWidth="1"/>
  </cols>
  <sheetData>
    <row r="1" spans="1:6" x14ac:dyDescent="0.25">
      <c r="A1" s="26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 x14ac:dyDescent="0.25">
      <c r="A2" s="2" t="s">
        <v>48</v>
      </c>
      <c r="B2" s="3" t="s">
        <v>49</v>
      </c>
      <c r="C2" s="3" t="s">
        <v>50</v>
      </c>
      <c r="D2" s="3" t="s">
        <v>51</v>
      </c>
      <c r="E2" s="4">
        <v>45</v>
      </c>
      <c r="F2" s="5" t="s">
        <v>52</v>
      </c>
    </row>
    <row r="3" spans="1:6" x14ac:dyDescent="0.25">
      <c r="A3" s="2" t="s">
        <v>53</v>
      </c>
      <c r="B3" s="3" t="s">
        <v>49</v>
      </c>
      <c r="C3" s="3" t="s">
        <v>25</v>
      </c>
      <c r="D3" s="3" t="s">
        <v>54</v>
      </c>
      <c r="E3" s="3" t="s">
        <v>54</v>
      </c>
      <c r="F3" s="5" t="s">
        <v>55</v>
      </c>
    </row>
    <row r="4" spans="1:6" x14ac:dyDescent="0.25">
      <c r="A4" s="2" t="s">
        <v>56</v>
      </c>
      <c r="B4" s="3" t="s">
        <v>49</v>
      </c>
      <c r="C4" s="3" t="s">
        <v>25</v>
      </c>
      <c r="D4" s="3" t="s">
        <v>37</v>
      </c>
      <c r="E4" s="3" t="s">
        <v>37</v>
      </c>
      <c r="F4" s="5" t="s">
        <v>55</v>
      </c>
    </row>
    <row r="5" spans="1:6" x14ac:dyDescent="0.25">
      <c r="A5" s="2" t="s">
        <v>57</v>
      </c>
      <c r="B5" s="3" t="s">
        <v>49</v>
      </c>
      <c r="C5" s="3" t="s">
        <v>50</v>
      </c>
      <c r="D5" s="3" t="s">
        <v>58</v>
      </c>
      <c r="E5" s="3" t="s">
        <v>59</v>
      </c>
      <c r="F5" s="5" t="s">
        <v>60</v>
      </c>
    </row>
    <row r="6" spans="1:6" x14ac:dyDescent="0.25">
      <c r="A6" s="2" t="s">
        <v>61</v>
      </c>
      <c r="B6" s="3" t="s">
        <v>49</v>
      </c>
      <c r="C6" s="3" t="s">
        <v>50</v>
      </c>
      <c r="D6" s="3" t="s">
        <v>62</v>
      </c>
      <c r="E6" s="3" t="s">
        <v>63</v>
      </c>
      <c r="F6" s="5" t="s">
        <v>64</v>
      </c>
    </row>
    <row r="7" spans="1:6" x14ac:dyDescent="0.25">
      <c r="A7" s="2" t="s">
        <v>65</v>
      </c>
      <c r="B7" s="3" t="s">
        <v>49</v>
      </c>
      <c r="C7" s="3" t="s">
        <v>66</v>
      </c>
      <c r="D7" s="3" t="s">
        <v>37</v>
      </c>
      <c r="E7" s="3" t="s">
        <v>37</v>
      </c>
      <c r="F7" s="5" t="s">
        <v>67</v>
      </c>
    </row>
    <row r="8" spans="1:6" x14ac:dyDescent="0.25">
      <c r="A8" s="2" t="s">
        <v>68</v>
      </c>
      <c r="B8" s="3" t="s">
        <v>49</v>
      </c>
      <c r="C8" s="3" t="s">
        <v>69</v>
      </c>
      <c r="D8" s="3" t="s">
        <v>70</v>
      </c>
      <c r="E8" s="3" t="s">
        <v>70</v>
      </c>
      <c r="F8" s="5" t="s">
        <v>71</v>
      </c>
    </row>
    <row r="9" spans="1:6" x14ac:dyDescent="0.25">
      <c r="A9" s="2" t="s">
        <v>72</v>
      </c>
      <c r="B9" s="3" t="s">
        <v>49</v>
      </c>
      <c r="C9" s="3" t="s">
        <v>25</v>
      </c>
      <c r="D9" s="3" t="s">
        <v>73</v>
      </c>
      <c r="E9" s="3" t="s">
        <v>73</v>
      </c>
      <c r="F9" s="5" t="s">
        <v>74</v>
      </c>
    </row>
    <row r="10" spans="1:6" x14ac:dyDescent="0.25">
      <c r="A10" s="27" t="s">
        <v>4</v>
      </c>
      <c r="B10" s="28"/>
      <c r="C10" s="29"/>
      <c r="D10" s="30"/>
      <c r="E10" s="31" t="s">
        <v>75</v>
      </c>
      <c r="F10" s="32"/>
    </row>
  </sheetData>
  <mergeCells count="2">
    <mergeCell ref="B10:D10"/>
    <mergeCell ref="E10:F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B3FB-4256-4476-8C6E-CE954595163D}">
  <dimension ref="A1:D7"/>
  <sheetViews>
    <sheetView workbookViewId="0">
      <selection activeCell="D17" sqref="D17"/>
    </sheetView>
  </sheetViews>
  <sheetFormatPr defaultRowHeight="15" x14ac:dyDescent="0.25"/>
  <cols>
    <col min="1" max="1" width="38.140625" customWidth="1"/>
    <col min="3" max="3" width="18.42578125" customWidth="1"/>
    <col min="4" max="4" width="18.85546875" customWidth="1"/>
  </cols>
  <sheetData>
    <row r="1" spans="1:4" x14ac:dyDescent="0.25">
      <c r="A1" s="22" t="s">
        <v>76</v>
      </c>
      <c r="B1" s="22" t="s">
        <v>1</v>
      </c>
      <c r="C1" s="22" t="s">
        <v>77</v>
      </c>
      <c r="D1" s="22" t="s">
        <v>78</v>
      </c>
    </row>
    <row r="2" spans="1:4" x14ac:dyDescent="0.25">
      <c r="A2" s="3" t="s">
        <v>79</v>
      </c>
      <c r="B2" s="3" t="s">
        <v>7</v>
      </c>
      <c r="C2" s="7">
        <v>455</v>
      </c>
      <c r="D2" s="7">
        <v>1155</v>
      </c>
    </row>
    <row r="3" spans="1:4" x14ac:dyDescent="0.25">
      <c r="A3" s="3" t="s">
        <v>80</v>
      </c>
      <c r="B3" s="3" t="s">
        <v>49</v>
      </c>
      <c r="C3" s="7">
        <v>325</v>
      </c>
      <c r="D3" s="7">
        <v>1125</v>
      </c>
    </row>
    <row r="4" spans="1:4" x14ac:dyDescent="0.25">
      <c r="A4" s="1" t="s">
        <v>81</v>
      </c>
      <c r="B4" s="8"/>
      <c r="C4" s="6">
        <v>780</v>
      </c>
      <c r="D4" s="6">
        <v>2280</v>
      </c>
    </row>
    <row r="5" spans="1:4" x14ac:dyDescent="0.25">
      <c r="A5" s="3" t="s">
        <v>82</v>
      </c>
      <c r="B5" s="3" t="s">
        <v>83</v>
      </c>
      <c r="C5" s="7">
        <v>117</v>
      </c>
      <c r="D5" s="7">
        <v>342</v>
      </c>
    </row>
    <row r="6" spans="1:4" x14ac:dyDescent="0.25">
      <c r="A6" s="21" t="s">
        <v>84</v>
      </c>
      <c r="B6" s="24"/>
      <c r="C6" s="25">
        <v>897</v>
      </c>
      <c r="D6" s="25">
        <v>2622</v>
      </c>
    </row>
    <row r="7" spans="1:4" x14ac:dyDescent="0.25">
      <c r="A7" s="9"/>
      <c r="B7" s="9"/>
      <c r="C7" s="9"/>
      <c r="D7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2E0E-46DA-4CAF-8B39-E2B10CBD9894}">
  <dimension ref="A1:H10"/>
  <sheetViews>
    <sheetView workbookViewId="0">
      <selection activeCell="E28" sqref="E28"/>
    </sheetView>
  </sheetViews>
  <sheetFormatPr defaultRowHeight="15" x14ac:dyDescent="0.25"/>
  <cols>
    <col min="1" max="1" width="16.140625" customWidth="1"/>
    <col min="2" max="2" width="24.85546875" customWidth="1"/>
    <col min="4" max="4" width="15.140625" customWidth="1"/>
    <col min="5" max="5" width="20.85546875" customWidth="1"/>
    <col min="6" max="6" width="13.140625" customWidth="1"/>
    <col min="7" max="7" width="14.42578125" customWidth="1"/>
    <col min="8" max="8" width="21.5703125" customWidth="1"/>
  </cols>
  <sheetData>
    <row r="1" spans="1:8" x14ac:dyDescent="0.25">
      <c r="A1" s="22" t="s">
        <v>85</v>
      </c>
      <c r="B1" s="22" t="s">
        <v>0</v>
      </c>
      <c r="C1" s="22" t="s">
        <v>1</v>
      </c>
      <c r="D1" s="22" t="s">
        <v>86</v>
      </c>
      <c r="E1" s="22" t="s">
        <v>87</v>
      </c>
      <c r="F1" s="22" t="s">
        <v>88</v>
      </c>
      <c r="G1" s="22" t="s">
        <v>89</v>
      </c>
      <c r="H1" s="22" t="s">
        <v>90</v>
      </c>
    </row>
    <row r="2" spans="1:8" x14ac:dyDescent="0.25">
      <c r="A2" s="1" t="s">
        <v>91</v>
      </c>
      <c r="B2" s="3" t="s">
        <v>6</v>
      </c>
      <c r="C2" s="3" t="s">
        <v>7</v>
      </c>
      <c r="D2" s="3">
        <v>2</v>
      </c>
      <c r="E2" s="10">
        <v>75</v>
      </c>
      <c r="F2" s="10">
        <f>D2*E2</f>
        <v>150</v>
      </c>
      <c r="G2" s="3" t="s">
        <v>102</v>
      </c>
      <c r="H2" s="11">
        <v>46313</v>
      </c>
    </row>
    <row r="3" spans="1:8" x14ac:dyDescent="0.25">
      <c r="A3" s="1" t="s">
        <v>93</v>
      </c>
      <c r="B3" s="3" t="s">
        <v>10</v>
      </c>
      <c r="C3" s="3" t="s">
        <v>7</v>
      </c>
      <c r="D3" s="3">
        <v>3</v>
      </c>
      <c r="E3" s="10">
        <v>30</v>
      </c>
      <c r="F3" s="10">
        <f t="shared" ref="F3:F8" si="0">D3*E3</f>
        <v>90</v>
      </c>
      <c r="G3" s="3" t="s">
        <v>102</v>
      </c>
      <c r="H3" s="11">
        <v>46313</v>
      </c>
    </row>
    <row r="4" spans="1:8" x14ac:dyDescent="0.25">
      <c r="A4" s="1" t="s">
        <v>93</v>
      </c>
      <c r="B4" s="3" t="s">
        <v>13</v>
      </c>
      <c r="C4" s="3" t="s">
        <v>7</v>
      </c>
      <c r="D4" s="3">
        <v>2</v>
      </c>
      <c r="E4" s="3">
        <v>20</v>
      </c>
      <c r="F4" s="10">
        <f t="shared" si="0"/>
        <v>40</v>
      </c>
      <c r="G4" s="3" t="s">
        <v>102</v>
      </c>
      <c r="H4" s="11">
        <v>46313</v>
      </c>
    </row>
    <row r="5" spans="1:8" x14ac:dyDescent="0.25">
      <c r="A5" s="1" t="s">
        <v>94</v>
      </c>
      <c r="B5" s="3" t="s">
        <v>103</v>
      </c>
      <c r="C5" s="3" t="s">
        <v>7</v>
      </c>
      <c r="D5" s="3">
        <v>3</v>
      </c>
      <c r="E5" s="3">
        <v>30</v>
      </c>
      <c r="F5" s="10">
        <f t="shared" si="0"/>
        <v>90</v>
      </c>
      <c r="G5" s="3" t="s">
        <v>102</v>
      </c>
      <c r="H5" s="11">
        <v>46313</v>
      </c>
    </row>
    <row r="6" spans="1:8" x14ac:dyDescent="0.25">
      <c r="A6" s="1" t="s">
        <v>95</v>
      </c>
      <c r="B6" s="3" t="s">
        <v>21</v>
      </c>
      <c r="C6" s="3" t="s">
        <v>7</v>
      </c>
      <c r="D6" s="3">
        <v>1</v>
      </c>
      <c r="E6" s="3">
        <v>120</v>
      </c>
      <c r="F6" s="10">
        <f t="shared" si="0"/>
        <v>120</v>
      </c>
      <c r="G6" s="3" t="s">
        <v>102</v>
      </c>
      <c r="H6" s="11">
        <v>46313</v>
      </c>
    </row>
    <row r="7" spans="1:8" x14ac:dyDescent="0.25">
      <c r="A7" s="1" t="s">
        <v>96</v>
      </c>
      <c r="B7" s="3" t="s">
        <v>97</v>
      </c>
      <c r="C7" s="3" t="s">
        <v>7</v>
      </c>
      <c r="D7" s="3" t="s">
        <v>25</v>
      </c>
      <c r="E7" s="3">
        <v>255</v>
      </c>
      <c r="F7" s="10">
        <f>E7*1</f>
        <v>255</v>
      </c>
      <c r="G7" s="3" t="s">
        <v>102</v>
      </c>
      <c r="H7" s="11">
        <v>46313</v>
      </c>
    </row>
    <row r="8" spans="1:8" x14ac:dyDescent="0.25">
      <c r="A8" s="12" t="s">
        <v>98</v>
      </c>
      <c r="B8" s="13" t="s">
        <v>99</v>
      </c>
      <c r="C8" s="13" t="s">
        <v>49</v>
      </c>
      <c r="D8" s="13" t="s">
        <v>105</v>
      </c>
      <c r="E8" s="13">
        <v>0</v>
      </c>
      <c r="F8" s="14">
        <f>3*E8</f>
        <v>0</v>
      </c>
      <c r="G8" s="13" t="s">
        <v>92</v>
      </c>
      <c r="H8" s="15">
        <v>46313</v>
      </c>
    </row>
    <row r="9" spans="1:8" x14ac:dyDescent="0.25">
      <c r="A9" s="16" t="s">
        <v>100</v>
      </c>
      <c r="B9" s="17" t="s">
        <v>101</v>
      </c>
      <c r="C9" s="17" t="s">
        <v>49</v>
      </c>
      <c r="D9" s="17" t="s">
        <v>50</v>
      </c>
      <c r="E9" s="17">
        <v>60</v>
      </c>
      <c r="F9" s="18">
        <f>E9*3</f>
        <v>180</v>
      </c>
      <c r="G9" s="17" t="s">
        <v>104</v>
      </c>
      <c r="H9" s="19">
        <v>46313</v>
      </c>
    </row>
    <row r="10" spans="1:8" x14ac:dyDescent="0.25">
      <c r="A10" s="20" t="s">
        <v>88</v>
      </c>
      <c r="B10" s="20"/>
      <c r="C10" s="20"/>
      <c r="D10" s="20"/>
      <c r="E10" s="20"/>
      <c r="F10" s="23">
        <f>SUM(F2:F9)</f>
        <v>925</v>
      </c>
      <c r="G10" s="23"/>
      <c r="H10" s="23"/>
    </row>
  </sheetData>
  <mergeCells count="2">
    <mergeCell ref="F10:H10"/>
    <mergeCell ref="A10:E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1 — CAPEX</vt:lpstr>
      <vt:lpstr>Tabela 2 — OPEX</vt:lpstr>
      <vt:lpstr>Orçamento preliminar</vt:lpstr>
      <vt:lpstr>Panilha de 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Garcia</dc:creator>
  <cp:lastModifiedBy>Gilmar Garcia</cp:lastModifiedBy>
  <dcterms:created xsi:type="dcterms:W3CDTF">2026-10-18T18:31:03Z</dcterms:created>
  <dcterms:modified xsi:type="dcterms:W3CDTF">2026-10-18T19:53:24Z</dcterms:modified>
</cp:coreProperties>
</file>